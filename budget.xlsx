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UDGETS WEDDS\"/>
    </mc:Choice>
  </mc:AlternateContent>
  <bookViews>
    <workbookView xWindow="0" yWindow="0" windowWidth="14775" windowHeight="7395" activeTab="1"/>
  </bookViews>
  <sheets>
    <sheet name="ABAY" sheetId="1" r:id="rId1"/>
    <sheet name="INV-SO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8" i="2"/>
  <c r="Q17" i="1"/>
  <c r="N17" i="1"/>
  <c r="H20" i="1"/>
  <c r="H19" i="1"/>
  <c r="C19" i="1"/>
  <c r="C18" i="1"/>
  <c r="H17" i="1"/>
  <c r="G5" i="1"/>
  <c r="B5" i="1"/>
  <c r="C16" i="1"/>
</calcChain>
</file>

<file path=xl/sharedStrings.xml><?xml version="1.0" encoding="utf-8"?>
<sst xmlns="http://schemas.openxmlformats.org/spreadsheetml/2006/main" count="69" uniqueCount="43">
  <si>
    <t>Arvic</t>
  </si>
  <si>
    <t>Jomar</t>
  </si>
  <si>
    <t>Noel</t>
  </si>
  <si>
    <t>Kuya Jun</t>
  </si>
  <si>
    <t>Kuya Rexson</t>
  </si>
  <si>
    <t>Kuya JR</t>
  </si>
  <si>
    <t>Nat</t>
  </si>
  <si>
    <t>Angelo</t>
  </si>
  <si>
    <t xml:space="preserve">Groomsmen </t>
  </si>
  <si>
    <t>Plan</t>
  </si>
  <si>
    <t>Actual</t>
  </si>
  <si>
    <t xml:space="preserve">Bridesmaid </t>
  </si>
  <si>
    <t>Alma</t>
  </si>
  <si>
    <t>Grace</t>
  </si>
  <si>
    <t>Hannie</t>
  </si>
  <si>
    <t>Jiesel</t>
  </si>
  <si>
    <t>Ate Rhen</t>
  </si>
  <si>
    <t>Shaira</t>
  </si>
  <si>
    <t>Eleng</t>
  </si>
  <si>
    <t>Yeonna</t>
  </si>
  <si>
    <t>Ate tin</t>
  </si>
  <si>
    <t>total</t>
  </si>
  <si>
    <t>total plan</t>
  </si>
  <si>
    <t>bayad na</t>
  </si>
  <si>
    <t>hindi pa bayad</t>
  </si>
  <si>
    <t>di pa bayad</t>
  </si>
  <si>
    <t>nabili na</t>
  </si>
  <si>
    <t>polo (tela)</t>
  </si>
  <si>
    <t>buttons</t>
  </si>
  <si>
    <t>necktie</t>
  </si>
  <si>
    <t>suspender</t>
  </si>
  <si>
    <t>collar, uhalis</t>
  </si>
  <si>
    <t>Bridesmaid</t>
  </si>
  <si>
    <t>infinity dress(tela)</t>
  </si>
  <si>
    <t>bath robe</t>
  </si>
  <si>
    <t>tulle</t>
  </si>
  <si>
    <t>budget</t>
  </si>
  <si>
    <t>basket</t>
  </si>
  <si>
    <t>ribbon</t>
  </si>
  <si>
    <t>print</t>
  </si>
  <si>
    <t>gunting/tape</t>
  </si>
  <si>
    <t>card</t>
  </si>
  <si>
    <t>tira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</si>
</sst>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N2" sqref="N2"/>
    </sheetView>
  </sheetViews>
  <sheetFormatPr defaultRowHeight="15" x14ac:dyDescent="0.25"/>
  <cols>
    <col min="1" max="1" width="11" bestFit="1" customWidth="1"/>
    <col min="2" max="2" width="14" bestFit="1" customWidth="1"/>
    <col min="6" max="6" width="11" bestFit="1" customWidth="1"/>
    <col min="7" max="7" width="14" bestFit="1" customWidth="1"/>
    <col min="13" max="13" width="12.28515625" bestFit="1" customWidth="1"/>
    <col min="16" max="16" width="17.7109375" bestFit="1" customWidth="1"/>
  </cols>
  <sheetData>
    <row r="1" spans="1:17" x14ac:dyDescent="0.25">
      <c r="A1" s="4" t="s">
        <v>23</v>
      </c>
    </row>
    <row r="2" spans="1:17" x14ac:dyDescent="0.25">
      <c r="A2" s="5" t="s">
        <v>25</v>
      </c>
      <c r="N2" t="s">
        <v>26</v>
      </c>
    </row>
    <row r="5" spans="1:17" x14ac:dyDescent="0.25">
      <c r="B5" s="1">
        <f>SUM(C7:C14)</f>
        <v>6300</v>
      </c>
      <c r="C5" s="1"/>
      <c r="D5" s="1"/>
      <c r="G5" s="1">
        <f>SUM(H7:H15)</f>
        <v>7200</v>
      </c>
      <c r="H5" s="1"/>
      <c r="I5" s="1"/>
      <c r="M5" s="6" t="s">
        <v>8</v>
      </c>
      <c r="N5" s="6"/>
      <c r="P5" s="6" t="s">
        <v>32</v>
      </c>
      <c r="Q5" s="6"/>
    </row>
    <row r="6" spans="1:17" x14ac:dyDescent="0.25">
      <c r="B6" s="2" t="s">
        <v>8</v>
      </c>
      <c r="C6" s="2" t="s">
        <v>9</v>
      </c>
      <c r="D6" s="2" t="s">
        <v>10</v>
      </c>
      <c r="G6" s="2" t="s">
        <v>11</v>
      </c>
      <c r="H6" s="2" t="s">
        <v>9</v>
      </c>
      <c r="I6" s="2" t="s">
        <v>10</v>
      </c>
      <c r="M6" s="3" t="s">
        <v>27</v>
      </c>
      <c r="N6" s="3">
        <v>1100</v>
      </c>
      <c r="P6" s="3" t="s">
        <v>33</v>
      </c>
      <c r="Q6" s="3">
        <v>1200</v>
      </c>
    </row>
    <row r="7" spans="1:17" x14ac:dyDescent="0.25">
      <c r="A7" s="4" t="s">
        <v>23</v>
      </c>
      <c r="B7" s="3" t="s">
        <v>0</v>
      </c>
      <c r="C7" s="3">
        <v>700</v>
      </c>
      <c r="D7" s="3">
        <v>700</v>
      </c>
      <c r="F7" s="5" t="s">
        <v>25</v>
      </c>
      <c r="G7" s="3" t="s">
        <v>12</v>
      </c>
      <c r="H7" s="3">
        <v>800</v>
      </c>
      <c r="I7" s="3"/>
      <c r="M7" s="3" t="s">
        <v>28</v>
      </c>
      <c r="N7" s="3">
        <v>38</v>
      </c>
      <c r="P7" s="3" t="s">
        <v>34</v>
      </c>
      <c r="Q7" s="3">
        <v>2250</v>
      </c>
    </row>
    <row r="8" spans="1:17" x14ac:dyDescent="0.25">
      <c r="A8" s="4" t="s">
        <v>23</v>
      </c>
      <c r="B8" s="3" t="s">
        <v>1</v>
      </c>
      <c r="C8" s="3">
        <v>1400</v>
      </c>
      <c r="D8" s="3">
        <v>1400</v>
      </c>
      <c r="F8" s="5" t="s">
        <v>25</v>
      </c>
      <c r="G8" s="3" t="s">
        <v>13</v>
      </c>
      <c r="H8" s="3">
        <v>800</v>
      </c>
      <c r="I8" s="3"/>
      <c r="M8" s="3" t="s">
        <v>29</v>
      </c>
      <c r="N8" s="3">
        <v>480</v>
      </c>
      <c r="P8" s="3" t="s">
        <v>35</v>
      </c>
      <c r="Q8" s="3">
        <v>300</v>
      </c>
    </row>
    <row r="9" spans="1:17" x14ac:dyDescent="0.25">
      <c r="A9" s="4" t="s">
        <v>23</v>
      </c>
      <c r="B9" s="3" t="s">
        <v>2</v>
      </c>
      <c r="C9" s="3">
        <v>700</v>
      </c>
      <c r="D9" s="3">
        <v>700</v>
      </c>
      <c r="F9" s="5" t="s">
        <v>25</v>
      </c>
      <c r="G9" s="3" t="s">
        <v>14</v>
      </c>
      <c r="H9" s="3">
        <v>800</v>
      </c>
      <c r="I9" s="3"/>
      <c r="M9" s="3" t="s">
        <v>30</v>
      </c>
      <c r="N9" s="3">
        <v>400</v>
      </c>
      <c r="P9" s="3"/>
      <c r="Q9" s="3"/>
    </row>
    <row r="10" spans="1:17" x14ac:dyDescent="0.25">
      <c r="A10" s="5" t="s">
        <v>25</v>
      </c>
      <c r="B10" s="3" t="s">
        <v>3</v>
      </c>
      <c r="C10" s="3">
        <v>700</v>
      </c>
      <c r="D10" s="3"/>
      <c r="F10" s="4" t="s">
        <v>23</v>
      </c>
      <c r="G10" s="3" t="s">
        <v>15</v>
      </c>
      <c r="H10" s="3">
        <v>800</v>
      </c>
      <c r="I10" s="3">
        <v>800</v>
      </c>
      <c r="M10" s="3" t="s">
        <v>31</v>
      </c>
      <c r="N10" s="3">
        <v>400</v>
      </c>
      <c r="P10" s="3"/>
      <c r="Q10" s="3"/>
    </row>
    <row r="11" spans="1:17" x14ac:dyDescent="0.25">
      <c r="A11" s="5" t="s">
        <v>25</v>
      </c>
      <c r="B11" s="3" t="s">
        <v>4</v>
      </c>
      <c r="C11" s="3">
        <v>700</v>
      </c>
      <c r="D11" s="3"/>
      <c r="F11" s="5" t="s">
        <v>25</v>
      </c>
      <c r="G11" s="3" t="s">
        <v>16</v>
      </c>
      <c r="H11" s="3">
        <v>800</v>
      </c>
      <c r="I11" s="3"/>
      <c r="M11" s="3"/>
      <c r="N11" s="3"/>
      <c r="P11" s="3"/>
      <c r="Q11" s="3"/>
    </row>
    <row r="12" spans="1:17" x14ac:dyDescent="0.25">
      <c r="A12" s="5" t="s">
        <v>25</v>
      </c>
      <c r="B12" s="3" t="s">
        <v>5</v>
      </c>
      <c r="C12" s="3">
        <v>700</v>
      </c>
      <c r="D12" s="3"/>
      <c r="F12" s="4" t="s">
        <v>23</v>
      </c>
      <c r="G12" s="3" t="s">
        <v>17</v>
      </c>
      <c r="H12" s="3">
        <v>800</v>
      </c>
      <c r="I12" s="3">
        <v>800</v>
      </c>
      <c r="M12" s="3"/>
      <c r="N12" s="3"/>
      <c r="P12" s="3"/>
      <c r="Q12" s="3"/>
    </row>
    <row r="13" spans="1:17" x14ac:dyDescent="0.25">
      <c r="A13" s="5" t="s">
        <v>25</v>
      </c>
      <c r="B13" s="3" t="s">
        <v>6</v>
      </c>
      <c r="C13" s="3">
        <v>700</v>
      </c>
      <c r="D13" s="3"/>
      <c r="F13" s="5" t="s">
        <v>25</v>
      </c>
      <c r="G13" s="3" t="s">
        <v>18</v>
      </c>
      <c r="H13" s="3">
        <v>800</v>
      </c>
      <c r="I13" s="3"/>
      <c r="M13" s="3"/>
      <c r="N13" s="3"/>
      <c r="P13" s="3"/>
      <c r="Q13" s="3"/>
    </row>
    <row r="14" spans="1:17" x14ac:dyDescent="0.25">
      <c r="A14" s="5" t="s">
        <v>25</v>
      </c>
      <c r="B14" s="3" t="s">
        <v>7</v>
      </c>
      <c r="C14" s="3">
        <v>700</v>
      </c>
      <c r="D14" s="3"/>
      <c r="F14" s="5" t="s">
        <v>25</v>
      </c>
      <c r="G14" s="3" t="s">
        <v>19</v>
      </c>
      <c r="H14" s="3">
        <v>800</v>
      </c>
      <c r="I14" s="3"/>
      <c r="M14" s="3"/>
      <c r="N14" s="3"/>
      <c r="P14" s="3"/>
      <c r="Q14" s="3"/>
    </row>
    <row r="15" spans="1:17" x14ac:dyDescent="0.25">
      <c r="F15" s="5" t="s">
        <v>25</v>
      </c>
      <c r="G15" s="3" t="s">
        <v>20</v>
      </c>
      <c r="H15" s="3">
        <v>800</v>
      </c>
      <c r="I15" s="3"/>
      <c r="M15" s="3"/>
      <c r="N15" s="3"/>
      <c r="P15" s="3"/>
      <c r="Q15" s="3"/>
    </row>
    <row r="16" spans="1:17" x14ac:dyDescent="0.25">
      <c r="B16" t="s">
        <v>22</v>
      </c>
      <c r="C16">
        <f>SUM(C7:C14)</f>
        <v>6300</v>
      </c>
    </row>
    <row r="17" spans="2:17" x14ac:dyDescent="0.25">
      <c r="G17" t="s">
        <v>22</v>
      </c>
      <c r="H17">
        <f>SUM(H7:H15)</f>
        <v>7200</v>
      </c>
      <c r="M17" t="s">
        <v>21</v>
      </c>
      <c r="N17">
        <f>SUM(N6:N14)</f>
        <v>2418</v>
      </c>
      <c r="P17" t="s">
        <v>21</v>
      </c>
      <c r="Q17">
        <f>SUM(Q6:Q15)</f>
        <v>3750</v>
      </c>
    </row>
    <row r="18" spans="2:17" x14ac:dyDescent="0.25">
      <c r="B18" t="s">
        <v>23</v>
      </c>
      <c r="C18">
        <f>SUMIFS(D7:D14, A7:A14, "bayad na")</f>
        <v>2800</v>
      </c>
    </row>
    <row r="19" spans="2:17" x14ac:dyDescent="0.25">
      <c r="B19" t="s">
        <v>24</v>
      </c>
      <c r="C19">
        <f>SUMIFS(C7:C14, A7:A14, "di pa bayad")</f>
        <v>3500</v>
      </c>
      <c r="G19" t="s">
        <v>23</v>
      </c>
      <c r="H19">
        <f>SUMIFS(I7:I15, F7:F15, "bayad na")</f>
        <v>1600</v>
      </c>
    </row>
    <row r="20" spans="2:17" x14ac:dyDescent="0.25">
      <c r="G20" t="s">
        <v>24</v>
      </c>
      <c r="H20">
        <f>SUMIFS(H7:H15, F7:F15, "di pa bayad")</f>
        <v>5600</v>
      </c>
    </row>
  </sheetData>
  <mergeCells count="4">
    <mergeCell ref="B5:D5"/>
    <mergeCell ref="G5:I5"/>
    <mergeCell ref="M5:N5"/>
    <mergeCell ref="P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0"/>
  <sheetViews>
    <sheetView tabSelected="1" workbookViewId="0">
      <selection activeCell="L19" sqref="L19"/>
    </sheetView>
  </sheetViews>
  <sheetFormatPr defaultRowHeight="15" x14ac:dyDescent="0.25"/>
  <cols>
    <col min="2" max="2" width="12.5703125" bestFit="1" customWidth="1"/>
  </cols>
  <sheetData>
    <row r="6" spans="2:7" x14ac:dyDescent="0.25">
      <c r="B6" t="s">
        <v>37</v>
      </c>
      <c r="C6">
        <v>240</v>
      </c>
      <c r="F6" t="s">
        <v>36</v>
      </c>
      <c r="G6">
        <v>5000</v>
      </c>
    </row>
    <row r="7" spans="2:7" x14ac:dyDescent="0.25">
      <c r="B7" t="s">
        <v>38</v>
      </c>
      <c r="C7">
        <v>135</v>
      </c>
    </row>
    <row r="8" spans="2:7" x14ac:dyDescent="0.25">
      <c r="B8" t="s">
        <v>39</v>
      </c>
      <c r="C8">
        <v>120</v>
      </c>
      <c r="F8" t="s">
        <v>21</v>
      </c>
      <c r="G8">
        <f>SUM(C6:C10)</f>
        <v>790</v>
      </c>
    </row>
    <row r="9" spans="2:7" x14ac:dyDescent="0.25">
      <c r="B9" t="s">
        <v>40</v>
      </c>
      <c r="C9">
        <v>75</v>
      </c>
      <c r="F9" t="s">
        <v>42</v>
      </c>
      <c r="G9">
        <f>G6-G8</f>
        <v>4210</v>
      </c>
    </row>
    <row r="10" spans="2:7" x14ac:dyDescent="0.25">
      <c r="B10" t="s">
        <v>41</v>
      </c>
      <c r="C10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ABAY</vt:lpstr>
      <vt:lpstr>INV-SOV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JAY MERCADO</dc:creator>
  <cp:lastModifiedBy>MARK JAY MERCADO</cp:lastModifiedBy>
  <dcterms:created xsi:type="dcterms:W3CDTF">2020-01-29T05:58:59Z</dcterms:created>
  <dcterms:modified xsi:type="dcterms:W3CDTF">2020-01-29T06:37:10Z</dcterms:modified>
</cp:coreProperties>
</file>